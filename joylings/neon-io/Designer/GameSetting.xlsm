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2040" windowWidth="14808" windowHeight="6072"/>
  </bookViews>
  <sheets>
    <sheet name="GameSetting" sheetId="1" r:id="rId1"/>
    <sheet name="Ref" sheetId="5" r:id="rId2"/>
  </sheets>
  <functionGroups builtInGroupCount="17"/>
  <externalReferences>
    <externalReference r:id="rId3"/>
  </externalReferences>
  <definedNames>
    <definedName name="_xlnm._FilterDatabase" localSheetId="0" hidden="1">GameSetting!$A$1:$B$2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Ref!$A$2:$A$10</definedName>
    <definedName name="TriggerType">Ref!$C$2:$C$4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E91" i="1" l="1"/>
  <c r="E90" i="1"/>
  <c r="E89" i="1"/>
  <c r="E88" i="1"/>
  <c r="E87" i="1"/>
  <c r="E70" i="1" l="1"/>
  <c r="E69" i="1"/>
  <c r="E65" i="1"/>
  <c r="E68" i="1"/>
  <c r="E64" i="1"/>
  <c r="E67" i="1"/>
  <c r="E66" i="1"/>
  <c r="E63" i="1"/>
  <c r="E62" i="1"/>
  <c r="E61" i="1" l="1"/>
  <c r="E54" i="1" l="1"/>
  <c r="E53" i="1"/>
  <c r="E60" i="1" l="1"/>
  <c r="E59" i="1"/>
  <c r="E58" i="1"/>
  <c r="E57" i="1"/>
  <c r="E56" i="1"/>
  <c r="E55" i="1"/>
  <c r="E12" i="1" l="1"/>
  <c r="E11" i="1"/>
  <c r="E45" i="1" l="1"/>
  <c r="E46" i="1" l="1"/>
  <c r="E37" i="1" l="1"/>
  <c r="E23" i="1"/>
  <c r="E43" i="1" l="1"/>
  <c r="E44" i="1"/>
  <c r="E42" i="1"/>
  <c r="E51" i="1" l="1"/>
  <c r="E49" i="1" l="1"/>
  <c r="E48" i="1"/>
  <c r="E47" i="1"/>
  <c r="E50" i="1"/>
  <c r="E39" i="1" l="1"/>
  <c r="E40" i="1"/>
  <c r="E41" i="1"/>
  <c r="E38" i="1"/>
  <c r="E22" i="1" l="1"/>
  <c r="E21" i="1" l="1"/>
  <c r="E20" i="1"/>
  <c r="E19" i="1"/>
  <c r="E18" i="1"/>
  <c r="E17" i="1"/>
  <c r="E16" i="1"/>
  <c r="E15" i="1"/>
  <c r="E14" i="1"/>
  <c r="E93" i="1"/>
  <c r="E92" i="1"/>
  <c r="E86" i="1" l="1"/>
  <c r="E85" i="1"/>
  <c r="E84" i="1"/>
  <c r="E36" i="1" l="1"/>
  <c r="E75" i="1" l="1"/>
  <c r="E9" i="1" l="1"/>
  <c r="E10" i="1"/>
  <c r="E8" i="1"/>
  <c r="E35" i="1"/>
  <c r="E34" i="1"/>
  <c r="E74" i="1"/>
  <c r="E73" i="1"/>
  <c r="E72" i="1"/>
  <c r="E27" i="1"/>
  <c r="E26" i="1"/>
  <c r="E76" i="1"/>
  <c r="E6" i="1"/>
  <c r="E7" i="1"/>
  <c r="E13" i="1"/>
  <c r="E5" i="1"/>
</calcChain>
</file>

<file path=xl/sharedStrings.xml><?xml version="1.0" encoding="utf-8"?>
<sst xmlns="http://schemas.openxmlformats.org/spreadsheetml/2006/main" count="230" uniqueCount="208">
  <si>
    <t>ID</t>
    <phoneticPr fontId="1" type="noConversion"/>
  </si>
  <si>
    <t>編號</t>
    <phoneticPr fontId="1" type="noConversion"/>
  </si>
  <si>
    <t>名稱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</si>
  <si>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</si>
  <si>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</si>
  <si>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</si>
  <si>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</si>
  <si>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</si>
  <si>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移動</t>
  </si>
  <si>
    <t>變身時間</t>
  </si>
  <si>
    <t>裝備品階掉落</t>
  </si>
  <si>
    <t>MoveSpeed</t>
  </si>
  <si>
    <t>AvatarTime</t>
  </si>
  <si>
    <t>SkillTime</t>
  </si>
  <si>
    <t>SkillDrop</t>
  </si>
  <si>
    <t>MoneyGain</t>
  </si>
  <si>
    <t>EquipDrop</t>
  </si>
  <si>
    <t>強化類型</t>
    <phoneticPr fontId="1" type="noConversion"/>
  </si>
  <si>
    <t>StrengthenType</t>
    <phoneticPr fontId="1" type="noConversion"/>
  </si>
  <si>
    <t>Value</t>
    <phoneticPr fontId="1" type="noConversion"/>
  </si>
  <si>
    <t>數值</t>
    <phoneticPr fontId="1" type="noConversion"/>
  </si>
  <si>
    <t>預設語系</t>
    <phoneticPr fontId="1" type="noConversion"/>
  </si>
  <si>
    <t>DefaultLanguage</t>
    <phoneticPr fontId="1" type="noConversion"/>
  </si>
  <si>
    <t>0=ZH_TW
1=ZH_CN
2=EN</t>
    <phoneticPr fontId="1" type="noConversion"/>
  </si>
  <si>
    <t>冰凍減速效果(百分比)</t>
    <phoneticPr fontId="1" type="noConversion"/>
  </si>
  <si>
    <t>戰鬥常數</t>
    <phoneticPr fontId="1" type="noConversion"/>
  </si>
  <si>
    <t>BurnDamage</t>
    <phoneticPr fontId="1" type="noConversion"/>
  </si>
  <si>
    <t>FreezeMove</t>
    <phoneticPr fontId="1" type="noConversion"/>
  </si>
  <si>
    <t>LV3NeedExp</t>
    <phoneticPr fontId="1" type="noConversion"/>
  </si>
  <si>
    <t>LV4NeedExp</t>
    <phoneticPr fontId="1" type="noConversion"/>
  </si>
  <si>
    <t>升到LV2需要多少經驗</t>
    <phoneticPr fontId="1" type="noConversion"/>
  </si>
  <si>
    <t>PlayerLV1DropStarExp</t>
    <phoneticPr fontId="1" type="noConversion"/>
  </si>
  <si>
    <t>PlayerLV2DropStarExp</t>
    <phoneticPr fontId="1" type="noConversion"/>
  </si>
  <si>
    <t>PlayerLV3DropStarExp</t>
  </si>
  <si>
    <t>PlayerLV4DropStarExp</t>
  </si>
  <si>
    <t>玩家等級1掉落星星數</t>
    <phoneticPr fontId="1" type="noConversion"/>
  </si>
  <si>
    <t>玩家等級2掉落星星數</t>
    <phoneticPr fontId="1" type="noConversion"/>
  </si>
  <si>
    <t>玩家等級3掉落星星數</t>
  </si>
  <si>
    <t>玩家等級4掉落星星數</t>
  </si>
  <si>
    <t>Health</t>
    <phoneticPr fontId="1" type="noConversion"/>
  </si>
  <si>
    <t>Damage</t>
    <phoneticPr fontId="1" type="noConversion"/>
  </si>
  <si>
    <t>血量</t>
    <phoneticPr fontId="1" type="noConversion"/>
  </si>
  <si>
    <t>傷害</t>
    <phoneticPr fontId="1" type="noConversion"/>
  </si>
  <si>
    <t>移動速度</t>
    <phoneticPr fontId="1" type="noConversion"/>
  </si>
  <si>
    <t>肉搏自身暈眩時間</t>
    <phoneticPr fontId="1" type="noConversion"/>
  </si>
  <si>
    <t>MeleeStunTime</t>
    <phoneticPr fontId="1" type="noConversion"/>
  </si>
  <si>
    <t>MeleeSelfSturnTime</t>
    <phoneticPr fontId="1" type="noConversion"/>
  </si>
  <si>
    <t>NeutralHealth</t>
    <phoneticPr fontId="1" type="noConversion"/>
  </si>
  <si>
    <t>玩家腳色資料</t>
    <phoneticPr fontId="1" type="noConversion"/>
  </si>
  <si>
    <t>升到LV3需要多少經驗</t>
    <phoneticPr fontId="1" type="noConversion"/>
  </si>
  <si>
    <t>升到LV4需要多少經驗</t>
    <phoneticPr fontId="1" type="noConversion"/>
  </si>
  <si>
    <t>升到LV5以上需要多少經驗</t>
    <phoneticPr fontId="1" type="noConversion"/>
  </si>
  <si>
    <t>LV5UpNeedExp</t>
    <phoneticPr fontId="1" type="noConversion"/>
  </si>
  <si>
    <t>NeutralDamage</t>
    <phoneticPr fontId="1" type="noConversion"/>
  </si>
  <si>
    <t>虛弱攻擊下降(百分比)</t>
    <phoneticPr fontId="1" type="noConversion"/>
  </si>
  <si>
    <t>SickDamageReduce</t>
    <phoneticPr fontId="1" type="noConversion"/>
  </si>
  <si>
    <t>燃燒觸發週期(秒)</t>
    <phoneticPr fontId="1" type="noConversion"/>
  </si>
  <si>
    <t>BurnTriggerInterval</t>
    <phoneticPr fontId="1" type="noConversion"/>
  </si>
  <si>
    <t>RecoveryTriggerInterval</t>
    <phoneticPr fontId="1" type="noConversion"/>
  </si>
  <si>
    <t>回血觸發週期(秒)</t>
    <phoneticPr fontId="1" type="noConversion"/>
  </si>
  <si>
    <t>BleedTriggerInterval</t>
    <phoneticPr fontId="1" type="noConversion"/>
  </si>
  <si>
    <t>流血觸發週期(秒)</t>
    <phoneticPr fontId="1" type="noConversion"/>
  </si>
  <si>
    <t>BleedDamage</t>
    <phoneticPr fontId="1" type="noConversion"/>
  </si>
  <si>
    <t>流血每次傷害(最大生命百分比)</t>
    <phoneticPr fontId="1" type="noConversion"/>
  </si>
  <si>
    <t>燃燒每次傷害(最大生命百分比)</t>
    <phoneticPr fontId="1" type="noConversion"/>
  </si>
  <si>
    <t>非攻擊的碰撞暈眩時間</t>
    <phoneticPr fontId="1" type="noConversion"/>
  </si>
  <si>
    <t>BumpSturnTime</t>
    <phoneticPr fontId="1" type="noConversion"/>
  </si>
  <si>
    <t>LVUpAddMaxHP</t>
    <phoneticPr fontId="1" type="noConversion"/>
  </si>
  <si>
    <t>升級時最大血量增加多少</t>
    <phoneticPr fontId="1" type="noConversion"/>
  </si>
  <si>
    <t>NeutralGetFeatureProbability</t>
    <phoneticPr fontId="1" type="noConversion"/>
  </si>
  <si>
    <t>肉搏目標暈眩時間</t>
    <phoneticPr fontId="1" type="noConversion"/>
  </si>
  <si>
    <t>腳色共用資料</t>
    <phoneticPr fontId="1" type="noConversion"/>
  </si>
  <si>
    <t>PlayerLVAddDropStarExp</t>
    <phoneticPr fontId="1" type="noConversion"/>
  </si>
  <si>
    <t>玩家等級5之後累加掉落星星數</t>
    <phoneticPr fontId="1" type="noConversion"/>
  </si>
  <si>
    <t>商店</t>
    <phoneticPr fontId="1" type="noConversion"/>
  </si>
  <si>
    <t>ReviveKreds</t>
    <phoneticPr fontId="1" type="noConversion"/>
  </si>
  <si>
    <t>復活花費Kreds</t>
    <phoneticPr fontId="1" type="noConversion"/>
  </si>
  <si>
    <t>取得優勢花費Kreds</t>
    <phoneticPr fontId="1" type="noConversion"/>
  </si>
  <si>
    <t>要改這個要連同kongregate後台的item價錢一起改</t>
    <phoneticPr fontId="1" type="noConversion"/>
  </si>
  <si>
    <t>GeneralClamorStar</t>
    <phoneticPr fontId="1" type="noConversion"/>
  </si>
  <si>
    <t>一般喊話花費Star</t>
    <phoneticPr fontId="1" type="noConversion"/>
  </si>
  <si>
    <t>ReviveKGShopID</t>
    <phoneticPr fontId="1" type="noConversion"/>
  </si>
  <si>
    <t>KG商店取得優勢的商品ID</t>
    <phoneticPr fontId="1" type="noConversion"/>
  </si>
  <si>
    <t>KG商店復活的商品ID</t>
    <phoneticPr fontId="1" type="noConversion"/>
  </si>
  <si>
    <t>要改這個要連同kongregate後台的itemID一起改</t>
    <phoneticPr fontId="1" type="noConversion"/>
  </si>
  <si>
    <t>PremiumKGShopID</t>
    <phoneticPr fontId="1" type="noConversion"/>
  </si>
  <si>
    <t>喊話(擊殺)觸發機率</t>
    <phoneticPr fontId="1" type="noConversion"/>
  </si>
  <si>
    <t>喊話(死亡)觸發機率</t>
  </si>
  <si>
    <t>喊話(升級)觸發機率</t>
  </si>
  <si>
    <t>喊話(擊中目標)觸發機率</t>
  </si>
  <si>
    <t>喊話(被擊中)觸發機率</t>
  </si>
  <si>
    <t>喊話(名人榜登場)觸發機率</t>
  </si>
  <si>
    <t>喊話(施法)觸發機率</t>
    <phoneticPr fontId="1" type="noConversion"/>
  </si>
  <si>
    <t>KillClamorProbability</t>
    <phoneticPr fontId="1" type="noConversion"/>
  </si>
  <si>
    <t>DieClamorProbability</t>
    <phoneticPr fontId="1" type="noConversion"/>
  </si>
  <si>
    <t>LevelUpClamorProbability</t>
    <phoneticPr fontId="1" type="noConversion"/>
  </si>
  <si>
    <t>HitClamorProbability</t>
    <phoneticPr fontId="1" type="noConversion"/>
  </si>
  <si>
    <t>BeHitClamorProbability</t>
    <phoneticPr fontId="1" type="noConversion"/>
  </si>
  <si>
    <t>DebutClamorProbability</t>
    <phoneticPr fontId="1" type="noConversion"/>
  </si>
  <si>
    <t>ClamorCD</t>
    <phoneticPr fontId="1" type="noConversion"/>
  </si>
  <si>
    <t>喊話CD</t>
    <phoneticPr fontId="1" type="noConversion"/>
  </si>
  <si>
    <t>ClamorTextDuration</t>
    <phoneticPr fontId="1" type="noConversion"/>
  </si>
  <si>
    <t>喊話文字最大持續時間</t>
    <phoneticPr fontId="1" type="noConversion"/>
  </si>
  <si>
    <t>revive</t>
    <phoneticPr fontId="1" type="noConversion"/>
  </si>
  <si>
    <t>premium</t>
    <phoneticPr fontId="1" type="noConversion"/>
  </si>
  <si>
    <t>腳色升級增加大(%)</t>
    <phoneticPr fontId="1" type="noConversion"/>
  </si>
  <si>
    <t>GrowthSizeRatio</t>
    <phoneticPr fontId="1" type="noConversion"/>
  </si>
  <si>
    <t>GrowthMaxSizeRatio</t>
    <phoneticPr fontId="1" type="noConversion"/>
  </si>
  <si>
    <t>腳色升級增加最大(%)</t>
    <phoneticPr fontId="1" type="noConversion"/>
  </si>
  <si>
    <t>造星神血量</t>
    <phoneticPr fontId="1" type="noConversion"/>
  </si>
  <si>
    <t>造星神傷害</t>
    <phoneticPr fontId="1" type="noConversion"/>
  </si>
  <si>
    <t>造星神移動速度</t>
    <phoneticPr fontId="1" type="noConversion"/>
  </si>
  <si>
    <t>造星神掉落星星數</t>
    <phoneticPr fontId="1" type="noConversion"/>
  </si>
  <si>
    <t>GodHealth</t>
    <phoneticPr fontId="1" type="noConversion"/>
  </si>
  <si>
    <t>GodDamage</t>
    <phoneticPr fontId="1" type="noConversion"/>
  </si>
  <si>
    <t>GodMoveSpeed</t>
    <phoneticPr fontId="1" type="noConversion"/>
  </si>
  <si>
    <t>初始產生AI野怪數量</t>
    <phoneticPr fontId="1" type="noConversion"/>
  </si>
  <si>
    <t>當AI野怪死掉後更換玩家機率</t>
    <phoneticPr fontId="1" type="noConversion"/>
  </si>
  <si>
    <t>之後AI野怪加入間隔秒數</t>
    <phoneticPr fontId="1" type="noConversion"/>
  </si>
  <si>
    <t>AI野怪死亡後重生離開或更換間隔秒數</t>
    <phoneticPr fontId="1" type="noConversion"/>
  </si>
  <si>
    <t>AIRoleJoinInterval</t>
    <phoneticPr fontId="1" type="noConversion"/>
  </si>
  <si>
    <t>野怪出Guest名稱機率</t>
    <phoneticPr fontId="1" type="noConversion"/>
  </si>
  <si>
    <t>AIRoleChangeProbability</t>
    <phoneticPr fontId="1" type="noConversion"/>
  </si>
  <si>
    <t>AIReSpawnInterval</t>
    <phoneticPr fontId="1" type="noConversion"/>
  </si>
  <si>
    <t>1:3</t>
    <phoneticPr fontId="1" type="noConversion"/>
  </si>
  <si>
    <t>GodDebutTime</t>
    <phoneticPr fontId="1" type="noConversion"/>
  </si>
  <si>
    <t>GodExistTime</t>
    <phoneticPr fontId="1" type="noConversion"/>
  </si>
  <si>
    <t>GodSpawnReSpawnTime</t>
    <phoneticPr fontId="1" type="noConversion"/>
  </si>
  <si>
    <t>造星神登場/離場表演時間(秒)</t>
    <phoneticPr fontId="1" type="noConversion"/>
  </si>
  <si>
    <t>造星神登場存在(秒)</t>
    <phoneticPr fontId="1" type="noConversion"/>
  </si>
  <si>
    <t>造星神重生時間(秒)</t>
    <phoneticPr fontId="1" type="noConversion"/>
  </si>
  <si>
    <t>InitAIRoleCount</t>
    <phoneticPr fontId="1" type="noConversion"/>
  </si>
  <si>
    <t>吃到星星恢復血量百分比</t>
    <phoneticPr fontId="1" type="noConversion"/>
  </si>
  <si>
    <t>GainExpHealHP</t>
    <phoneticPr fontId="1" type="noConversion"/>
  </si>
  <si>
    <t>LV2NeedExp</t>
    <phoneticPr fontId="1" type="noConversion"/>
  </si>
  <si>
    <t>AI怪初始獲得部位機率</t>
    <phoneticPr fontId="1" type="noConversion"/>
  </si>
  <si>
    <t>DefaultGodProbability</t>
    <phoneticPr fontId="1" type="noConversion"/>
  </si>
  <si>
    <t>出預設造星神的機率(預設造星神是當排行榜還沒有玩家資料時會抓預設造星神的名稱、喊話資料)</t>
    <phoneticPr fontId="1" type="noConversion"/>
  </si>
  <si>
    <t>GodDropStarExp</t>
    <phoneticPr fontId="1" type="noConversion"/>
  </si>
  <si>
    <t>MaxPlayersPerRoom</t>
    <phoneticPr fontId="1" type="noConversion"/>
  </si>
  <si>
    <t>房間最大玩家數</t>
    <phoneticPr fontId="1" type="noConversion"/>
  </si>
  <si>
    <t>MaxRolePerRoom</t>
    <phoneticPr fontId="1" type="noConversion"/>
  </si>
  <si>
    <t>房間最大腳色數(玩家+AI腳色)</t>
    <phoneticPr fontId="1" type="noConversion"/>
  </si>
  <si>
    <t>20:40</t>
    <phoneticPr fontId="1" type="noConversion"/>
  </si>
  <si>
    <t>OutsideCurseDamage</t>
    <phoneticPr fontId="1" type="noConversion"/>
  </si>
  <si>
    <t>OutsideCurseTriggerInterval</t>
    <phoneticPr fontId="1" type="noConversion"/>
  </si>
  <si>
    <t>出戰鬥範圍每次傷害(最大生命百分比)</t>
    <phoneticPr fontId="1" type="noConversion"/>
  </si>
  <si>
    <t>出戰鬥範圍傷害觸發週期(秒)</t>
    <phoneticPr fontId="1" type="noConversion"/>
  </si>
  <si>
    <t>Challenge特別資料</t>
    <phoneticPr fontId="1" type="noConversion"/>
  </si>
  <si>
    <t>中立腳色資料</t>
    <phoneticPr fontId="1" type="noConversion"/>
  </si>
  <si>
    <t>NeutralHealth_C</t>
    <phoneticPr fontId="1" type="noConversion"/>
  </si>
  <si>
    <t>NeutralDamage_C</t>
    <phoneticPr fontId="1" type="noConversion"/>
  </si>
  <si>
    <t>NeutralGetFeatureProbability_C</t>
    <phoneticPr fontId="1" type="noConversion"/>
  </si>
  <si>
    <t>Health_C</t>
    <phoneticPr fontId="1" type="noConversion"/>
  </si>
  <si>
    <t>Damage_C</t>
    <phoneticPr fontId="1" type="noConversion"/>
  </si>
  <si>
    <t>玩家血量</t>
    <phoneticPr fontId="1" type="noConversion"/>
  </si>
  <si>
    <t>玩家傷害</t>
    <phoneticPr fontId="1" type="noConversion"/>
  </si>
  <si>
    <t>中立怪血量</t>
    <phoneticPr fontId="1" type="noConversion"/>
  </si>
  <si>
    <t>中立怪傷害</t>
    <phoneticPr fontId="1" type="noConversion"/>
  </si>
  <si>
    <t>MaxPlayersPerRoom_C</t>
    <phoneticPr fontId="1" type="noConversion"/>
  </si>
  <si>
    <t>MaxRolePerRoom_C</t>
    <phoneticPr fontId="1" type="noConversion"/>
  </si>
  <si>
    <t>每幾秒改變一次玩家選擇的技能</t>
    <phoneticPr fontId="1" type="noConversion"/>
  </si>
  <si>
    <t>20</t>
    <phoneticPr fontId="1" type="noConversion"/>
  </si>
  <si>
    <t>ChangeFeatureTime_C</t>
    <phoneticPr fontId="1" type="noConversion"/>
  </si>
  <si>
    <t>WinRankScore_C</t>
    <phoneticPr fontId="1" type="noConversion"/>
  </si>
  <si>
    <t>勝利增加積分</t>
    <phoneticPr fontId="1" type="noConversion"/>
  </si>
  <si>
    <t>LoseRankScore_C</t>
    <phoneticPr fontId="1" type="noConversion"/>
  </si>
  <si>
    <t>WinStar_C</t>
    <phoneticPr fontId="1" type="noConversion"/>
  </si>
  <si>
    <t>LoseStar_C</t>
    <phoneticPr fontId="1" type="noConversion"/>
  </si>
  <si>
    <t>勝利增加星幣</t>
    <phoneticPr fontId="1" type="noConversion"/>
  </si>
  <si>
    <t>戰敗增加星幣</t>
    <phoneticPr fontId="1" type="noConversion"/>
  </si>
  <si>
    <t>戰敗增加積分</t>
    <phoneticPr fontId="1" type="noConversion"/>
  </si>
  <si>
    <t>連勝追加積分</t>
    <phoneticPr fontId="1" type="noConversion"/>
  </si>
  <si>
    <t>WinningStreakRankScore_C</t>
    <phoneticPr fontId="1" type="noConversion"/>
  </si>
  <si>
    <t>WinningStreakStar_C</t>
    <phoneticPr fontId="1" type="noConversion"/>
  </si>
  <si>
    <t>連勝追加星幣</t>
    <phoneticPr fontId="1" type="noConversion"/>
  </si>
  <si>
    <t>MoveSpeed</t>
    <phoneticPr fontId="1" type="noConversion"/>
  </si>
  <si>
    <t>增加星幣上限</t>
    <phoneticPr fontId="1" type="noConversion"/>
  </si>
  <si>
    <t>MaxStar_C</t>
    <phoneticPr fontId="1" type="noConversion"/>
  </si>
  <si>
    <t>增加積分上限</t>
    <phoneticPr fontId="1" type="noConversion"/>
  </si>
  <si>
    <t>搜尋玩家多久會改跟AI對戰</t>
    <phoneticPr fontId="1" type="noConversion"/>
  </si>
  <si>
    <t>GuestAIProbability</t>
    <phoneticPr fontId="1" type="noConversion"/>
  </si>
  <si>
    <t>MaxSearchingTime_C</t>
    <phoneticPr fontId="1" type="noConversion"/>
  </si>
  <si>
    <t>InitAIRoleCount_C</t>
    <phoneticPr fontId="1" type="noConversion"/>
  </si>
  <si>
    <t>MaxRankScore_C</t>
    <phoneticPr fontId="1" type="noConversion"/>
  </si>
  <si>
    <t>4:6</t>
    <phoneticPr fontId="1" type="noConversion"/>
  </si>
  <si>
    <t>20:40</t>
    <phoneticPr fontId="1" type="noConversion"/>
  </si>
  <si>
    <t>1:2</t>
    <phoneticPr fontId="1" type="noConversion"/>
  </si>
  <si>
    <t>PremiumKreds</t>
    <phoneticPr fontId="1" type="noConversion"/>
  </si>
  <si>
    <t>HeadSpellClamorKreds</t>
    <phoneticPr fontId="1" type="noConversion"/>
  </si>
  <si>
    <t>頭部施法喊話花費Kreds</t>
    <phoneticPr fontId="1" type="noConversion"/>
  </si>
  <si>
    <t>BodySpellClamorKreds</t>
    <phoneticPr fontId="1" type="noConversion"/>
  </si>
  <si>
    <t>BackSpellClamorKreds</t>
    <phoneticPr fontId="1" type="noConversion"/>
  </si>
  <si>
    <t>身體施法喊話花費Kreds</t>
    <phoneticPr fontId="1" type="noConversion"/>
  </si>
  <si>
    <t>背部施法喊話花費Kreds</t>
    <phoneticPr fontId="1" type="noConversion"/>
  </si>
  <si>
    <t>HeadSpellClamorKGShopID</t>
    <phoneticPr fontId="1" type="noConversion"/>
  </si>
  <si>
    <t>BodySpellClamorKGShopID</t>
    <phoneticPr fontId="1" type="noConversion"/>
  </si>
  <si>
    <t>BackSpellClamorKGShopID</t>
    <phoneticPr fontId="1" type="noConversion"/>
  </si>
  <si>
    <t>backspellclamorkreds</t>
  </si>
  <si>
    <t>headspellclamorkreds</t>
    <phoneticPr fontId="1" type="noConversion"/>
  </si>
  <si>
    <t>bodyspellclamorkreds</t>
    <phoneticPr fontId="1" type="noConversion"/>
  </si>
  <si>
    <t>頭部施法喊話花費Kreds的商品ID</t>
    <phoneticPr fontId="1" type="noConversion"/>
  </si>
  <si>
    <t>身體施法喊話花費Kreds的商品ID</t>
    <phoneticPr fontId="1" type="noConversion"/>
  </si>
  <si>
    <t>背部施法喊話花費Kreds的商品ID</t>
    <phoneticPr fontId="1" type="noConversion"/>
  </si>
  <si>
    <t>因為不能消耗低於10Kreds，所以移除這項</t>
    <phoneticPr fontId="1" type="noConversion"/>
  </si>
  <si>
    <t>backspellclamorkreds</t>
    <phoneticPr fontId="1" type="noConversion"/>
  </si>
  <si>
    <t>SpellClamorProbability</t>
    <phoneticPr fontId="1" type="noConversion"/>
  </si>
  <si>
    <t>8:15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</si>
</sst>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  <font>
      <b/>
      <sz val="12"/>
      <color theme="1"/>
      <name val="新細明體"/>
      <family val="1"/>
      <charset val="136"/>
      <scheme val="minor"/>
    </font>
    <font>
      <b/>
      <sz val="12"/>
      <color theme="0"/>
      <name val="新細明體"/>
      <family val="2"/>
      <scheme val="minor"/>
    </font>
    <font>
      <sz val="12"/>
      <color rgb="FFFF0000"/>
      <name val="新細明體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0" xfId="0" applyFill="1"/>
    <xf numFmtId="0" fontId="2" fillId="3" borderId="0" xfId="0" applyFont="1" applyFill="1"/>
    <xf numFmtId="0" fontId="3" fillId="0" borderId="0" xfId="0" applyFont="1"/>
    <xf numFmtId="0" fontId="4" fillId="3" borderId="0" xfId="0" applyFont="1" applyFill="1"/>
    <xf numFmtId="0" fontId="0" fillId="0" borderId="0" xfId="0" applyAlignment="1">
      <alignment wrapText="1"/>
    </xf>
    <xf numFmtId="0" fontId="5" fillId="0" borderId="0" xfId="0" applyFont="1"/>
    <xf numFmtId="0" fontId="0" fillId="0" borderId="0" xfId="0" applyFill="1"/>
    <xf numFmtId="49" fontId="0" fillId="0" borderId="0" xfId="0" applyNumberFormat="1"/>
    <xf numFmtId="0" fontId="0" fillId="4" borderId="0" xfId="0" applyFill="1"/>
    <xf numFmtId="0" fontId="5" fillId="4" borderId="0" xfId="0" applyFont="1" applyFill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  <sheetName val="Ref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F95"/>
  <sheetViews>
    <sheetView tabSelected="1" workbookViewId="0">
      <pane xSplit="2" ySplit="2" topLeftCell="C57" activePane="bottomRight" state="frozen"/>
      <selection pane="topRight" activeCell="C1" sqref="C1"/>
      <selection pane="bottomLeft" activeCell="A3" sqref="A3"/>
      <selection pane="bottomRight" activeCell="B68" sqref="B68"/>
    </sheetView>
  </sheetViews>
  <sheetFormatPr defaultRowHeight="16.2" x14ac:dyDescent="0.3"/>
  <cols>
    <col min="1" max="1" width="22.6640625" customWidth="1"/>
    <col min="2" max="2" width="28.77734375" customWidth="1"/>
    <col min="3" max="3" width="14.33203125" customWidth="1"/>
    <col min="4" max="9" width="19.44140625" customWidth="1"/>
    <col min="10" max="10" width="20" customWidth="1"/>
    <col min="11" max="11" width="17.77734375" customWidth="1"/>
    <col min="12" max="12" width="14.6640625" customWidth="1"/>
    <col min="13" max="13" width="13.88671875" customWidth="1"/>
    <col min="14" max="14" width="6.77734375" customWidth="1"/>
    <col min="15" max="15" width="19.6640625" customWidth="1"/>
    <col min="16" max="16" width="20" customWidth="1"/>
  </cols>
  <sheetData>
    <row r="1" spans="1:5" s="1" customFormat="1" x14ac:dyDescent="0.3">
      <c r="A1" s="1" t="s">
        <v>0</v>
      </c>
      <c r="B1" s="1" t="s">
        <v>7</v>
      </c>
      <c r="C1" s="1" t="s">
        <v>19</v>
      </c>
    </row>
    <row r="2" spans="1:5" s="1" customFormat="1" x14ac:dyDescent="0.3">
      <c r="A2" s="1" t="s">
        <v>1</v>
      </c>
      <c r="B2" s="1" t="s">
        <v>2</v>
      </c>
      <c r="C2" s="1" t="s">
        <v>20</v>
      </c>
    </row>
    <row r="3" spans="1:5" ht="48.6" x14ac:dyDescent="0.3">
      <c r="A3" t="s">
        <v>22</v>
      </c>
      <c r="B3" t="s">
        <v>21</v>
      </c>
      <c r="C3">
        <v>2</v>
      </c>
      <c r="D3" s="5" t="s">
        <v>23</v>
      </c>
    </row>
    <row r="4" spans="1:5" s="2" customFormat="1" x14ac:dyDescent="0.3">
      <c r="B4" s="4" t="s">
        <v>25</v>
      </c>
    </row>
    <row r="5" spans="1:5" x14ac:dyDescent="0.3">
      <c r="A5" t="s">
        <v>27</v>
      </c>
      <c r="B5" t="s">
        <v>24</v>
      </c>
      <c r="C5">
        <v>0.3</v>
      </c>
      <c r="D5">
        <v>0.3</v>
      </c>
      <c r="E5" t="str">
        <f t="shared" ref="E5:E21" si="0">"public static float "&amp;A5&amp;";"</f>
        <v>public static float FreezeMove;</v>
      </c>
    </row>
    <row r="6" spans="1:5" x14ac:dyDescent="0.3">
      <c r="A6" t="s">
        <v>26</v>
      </c>
      <c r="B6" t="s">
        <v>64</v>
      </c>
      <c r="C6">
        <v>5.0000000000000001E-3</v>
      </c>
      <c r="D6">
        <v>5.0000000000000001E-3</v>
      </c>
      <c r="E6" t="str">
        <f t="shared" si="0"/>
        <v>public static float BurnDamage;</v>
      </c>
    </row>
    <row r="7" spans="1:5" x14ac:dyDescent="0.3">
      <c r="A7" t="s">
        <v>57</v>
      </c>
      <c r="B7" t="s">
        <v>56</v>
      </c>
      <c r="C7">
        <v>0.2</v>
      </c>
      <c r="D7">
        <v>0.2</v>
      </c>
      <c r="E7" t="str">
        <f t="shared" si="0"/>
        <v>public static float BurnTriggerInterval;</v>
      </c>
    </row>
    <row r="8" spans="1:5" x14ac:dyDescent="0.3">
      <c r="A8" t="s">
        <v>58</v>
      </c>
      <c r="B8" t="s">
        <v>59</v>
      </c>
      <c r="C8">
        <v>1</v>
      </c>
      <c r="D8">
        <v>1</v>
      </c>
      <c r="E8" t="str">
        <f t="shared" ref="E8:E9" si="1">"public static float "&amp;A8&amp;";"</f>
        <v>public static float RecoveryTriggerInterval;</v>
      </c>
    </row>
    <row r="9" spans="1:5" x14ac:dyDescent="0.3">
      <c r="A9" t="s">
        <v>62</v>
      </c>
      <c r="B9" t="s">
        <v>63</v>
      </c>
      <c r="C9">
        <v>0.01</v>
      </c>
      <c r="D9">
        <v>0.01</v>
      </c>
      <c r="E9" t="str">
        <f t="shared" si="1"/>
        <v>public static float BleedDamage;</v>
      </c>
    </row>
    <row r="10" spans="1:5" x14ac:dyDescent="0.3">
      <c r="A10" t="s">
        <v>60</v>
      </c>
      <c r="B10" t="s">
        <v>61</v>
      </c>
      <c r="C10">
        <v>1</v>
      </c>
      <c r="D10">
        <v>1</v>
      </c>
      <c r="E10" t="str">
        <f t="shared" ref="E10:E12" si="2">"public static float "&amp;A10&amp;";"</f>
        <v>public static float BleedTriggerInterval;</v>
      </c>
    </row>
    <row r="11" spans="1:5" x14ac:dyDescent="0.3">
      <c r="A11" t="s">
        <v>144</v>
      </c>
      <c r="B11" t="s">
        <v>146</v>
      </c>
      <c r="C11">
        <v>0.05</v>
      </c>
      <c r="D11">
        <v>0.05</v>
      </c>
      <c r="E11" t="str">
        <f t="shared" si="2"/>
        <v>public static float OutsideCurseDamage;</v>
      </c>
    </row>
    <row r="12" spans="1:5" x14ac:dyDescent="0.3">
      <c r="A12" t="s">
        <v>145</v>
      </c>
      <c r="B12" t="s">
        <v>147</v>
      </c>
      <c r="C12">
        <v>0.5</v>
      </c>
      <c r="D12">
        <v>0.5</v>
      </c>
      <c r="E12" t="str">
        <f t="shared" si="2"/>
        <v>public static float OutsideCurseTriggerInterval;</v>
      </c>
    </row>
    <row r="13" spans="1:5" x14ac:dyDescent="0.3">
      <c r="A13" t="s">
        <v>55</v>
      </c>
      <c r="B13" t="s">
        <v>54</v>
      </c>
      <c r="C13">
        <v>0.5</v>
      </c>
      <c r="D13">
        <v>0.5</v>
      </c>
      <c r="E13" t="str">
        <f t="shared" si="0"/>
        <v>public static float SickDamageReduce;</v>
      </c>
    </row>
    <row r="14" spans="1:5" x14ac:dyDescent="0.3">
      <c r="A14" t="s">
        <v>93</v>
      </c>
      <c r="B14" s="7" t="s">
        <v>86</v>
      </c>
      <c r="C14">
        <v>1</v>
      </c>
      <c r="D14">
        <v>1</v>
      </c>
      <c r="E14" t="str">
        <f t="shared" si="0"/>
        <v>public static float KillClamorProbability;</v>
      </c>
    </row>
    <row r="15" spans="1:5" x14ac:dyDescent="0.3">
      <c r="A15" t="s">
        <v>94</v>
      </c>
      <c r="B15" s="7" t="s">
        <v>87</v>
      </c>
      <c r="C15">
        <v>1</v>
      </c>
      <c r="D15">
        <v>1</v>
      </c>
      <c r="E15" t="str">
        <f t="shared" si="0"/>
        <v>public static float DieClamorProbability;</v>
      </c>
    </row>
    <row r="16" spans="1:5" x14ac:dyDescent="0.3">
      <c r="A16" t="s">
        <v>95</v>
      </c>
      <c r="B16" s="7" t="s">
        <v>88</v>
      </c>
      <c r="C16">
        <v>1</v>
      </c>
      <c r="D16">
        <v>1</v>
      </c>
      <c r="E16" t="str">
        <f t="shared" si="0"/>
        <v>public static float LevelUpClamorProbability;</v>
      </c>
    </row>
    <row r="17" spans="1:5" x14ac:dyDescent="0.3">
      <c r="A17" t="s">
        <v>96</v>
      </c>
      <c r="B17" s="7" t="s">
        <v>89</v>
      </c>
      <c r="C17">
        <v>0.3</v>
      </c>
      <c r="D17">
        <v>0.3</v>
      </c>
      <c r="E17" t="str">
        <f t="shared" si="0"/>
        <v>public static float HitClamorProbability;</v>
      </c>
    </row>
    <row r="18" spans="1:5" x14ac:dyDescent="0.3">
      <c r="A18" t="s">
        <v>97</v>
      </c>
      <c r="B18" s="7" t="s">
        <v>90</v>
      </c>
      <c r="C18">
        <v>0.3</v>
      </c>
      <c r="D18">
        <v>0.3</v>
      </c>
      <c r="E18" t="str">
        <f t="shared" si="0"/>
        <v>public static float BeHitClamorProbability;</v>
      </c>
    </row>
    <row r="19" spans="1:5" x14ac:dyDescent="0.3">
      <c r="A19" t="s">
        <v>98</v>
      </c>
      <c r="B19" s="7" t="s">
        <v>91</v>
      </c>
      <c r="C19">
        <v>1</v>
      </c>
      <c r="D19">
        <v>1</v>
      </c>
      <c r="E19" t="str">
        <f t="shared" si="0"/>
        <v>public static float DebutClamorProbability;</v>
      </c>
    </row>
    <row r="20" spans="1:5" x14ac:dyDescent="0.3">
      <c r="A20" t="s">
        <v>206</v>
      </c>
      <c r="B20" s="7" t="s">
        <v>92</v>
      </c>
      <c r="C20">
        <v>0.5</v>
      </c>
      <c r="D20">
        <v>0.5</v>
      </c>
      <c r="E20" t="str">
        <f t="shared" si="0"/>
        <v>public static float SpellClamorProbability;</v>
      </c>
    </row>
    <row r="21" spans="1:5" x14ac:dyDescent="0.3">
      <c r="A21" t="s">
        <v>99</v>
      </c>
      <c r="B21" s="7" t="s">
        <v>100</v>
      </c>
      <c r="C21">
        <v>0.2</v>
      </c>
      <c r="D21">
        <v>0.2</v>
      </c>
      <c r="E21" t="str">
        <f t="shared" si="0"/>
        <v>public static float ClamorCD;</v>
      </c>
    </row>
    <row r="22" spans="1:5" x14ac:dyDescent="0.3">
      <c r="A22" t="s">
        <v>101</v>
      </c>
      <c r="B22" s="7" t="s">
        <v>102</v>
      </c>
      <c r="C22">
        <v>3</v>
      </c>
      <c r="D22">
        <v>3</v>
      </c>
      <c r="E22" t="str">
        <f t="shared" ref="E22:E23" si="3">"public static float "&amp;A22&amp;";"</f>
        <v>public static float ClamorTextDuration;</v>
      </c>
    </row>
    <row r="23" spans="1:5" x14ac:dyDescent="0.3">
      <c r="A23" t="s">
        <v>133</v>
      </c>
      <c r="B23" s="7" t="s">
        <v>132</v>
      </c>
      <c r="C23">
        <v>0.1</v>
      </c>
      <c r="D23">
        <v>0.1</v>
      </c>
      <c r="E23" t="str">
        <f t="shared" si="3"/>
        <v>public static float GainExpHealHP;</v>
      </c>
    </row>
    <row r="24" spans="1:5" x14ac:dyDescent="0.3">
      <c r="B24" s="7"/>
    </row>
    <row r="25" spans="1:5" s="2" customFormat="1" x14ac:dyDescent="0.3">
      <c r="B25" s="4" t="s">
        <v>48</v>
      </c>
    </row>
    <row r="26" spans="1:5" x14ac:dyDescent="0.3">
      <c r="A26" t="s">
        <v>39</v>
      </c>
      <c r="B26" t="s">
        <v>41</v>
      </c>
      <c r="C26">
        <v>1000</v>
      </c>
      <c r="D26">
        <v>1000</v>
      </c>
      <c r="E26" t="str">
        <f t="shared" ref="E26:E27" si="4">"public static int "&amp;A26&amp;";"</f>
        <v>public static int Health;</v>
      </c>
    </row>
    <row r="27" spans="1:5" x14ac:dyDescent="0.3">
      <c r="A27" t="s">
        <v>40</v>
      </c>
      <c r="B27" t="s">
        <v>42</v>
      </c>
      <c r="C27">
        <v>250</v>
      </c>
      <c r="D27">
        <v>250</v>
      </c>
      <c r="E27" t="str">
        <f t="shared" si="4"/>
        <v>public static int Damage;</v>
      </c>
    </row>
    <row r="28" spans="1:5" x14ac:dyDescent="0.3">
      <c r="A28" t="s">
        <v>134</v>
      </c>
      <c r="B28" t="s">
        <v>30</v>
      </c>
      <c r="C28">
        <v>1</v>
      </c>
      <c r="D28">
        <v>1</v>
      </c>
    </row>
    <row r="29" spans="1:5" x14ac:dyDescent="0.3">
      <c r="A29" t="s">
        <v>28</v>
      </c>
      <c r="B29" t="s">
        <v>49</v>
      </c>
      <c r="C29">
        <v>2</v>
      </c>
      <c r="D29">
        <v>2</v>
      </c>
    </row>
    <row r="30" spans="1:5" x14ac:dyDescent="0.3">
      <c r="A30" t="s">
        <v>29</v>
      </c>
      <c r="B30" t="s">
        <v>50</v>
      </c>
      <c r="C30">
        <v>3</v>
      </c>
      <c r="D30">
        <v>3</v>
      </c>
    </row>
    <row r="31" spans="1:5" x14ac:dyDescent="0.3">
      <c r="A31" t="s">
        <v>52</v>
      </c>
      <c r="B31" t="s">
        <v>51</v>
      </c>
      <c r="C31">
        <v>3</v>
      </c>
      <c r="D31">
        <v>3</v>
      </c>
    </row>
    <row r="32" spans="1:5" x14ac:dyDescent="0.3">
      <c r="A32" t="s">
        <v>67</v>
      </c>
      <c r="B32" t="s">
        <v>68</v>
      </c>
      <c r="C32">
        <v>50</v>
      </c>
      <c r="D32">
        <v>50</v>
      </c>
    </row>
    <row r="33" spans="1:5" s="2" customFormat="1" x14ac:dyDescent="0.3">
      <c r="B33" s="4" t="s">
        <v>149</v>
      </c>
    </row>
    <row r="34" spans="1:5" x14ac:dyDescent="0.3">
      <c r="A34" t="s">
        <v>47</v>
      </c>
      <c r="B34" t="s">
        <v>41</v>
      </c>
      <c r="C34">
        <v>1000</v>
      </c>
      <c r="D34">
        <v>1000</v>
      </c>
      <c r="E34" t="str">
        <f t="shared" ref="E34:E36" si="5">"public static int "&amp;A34&amp;";"</f>
        <v>public static int NeutralHealth;</v>
      </c>
    </row>
    <row r="35" spans="1:5" x14ac:dyDescent="0.3">
      <c r="A35" t="s">
        <v>53</v>
      </c>
      <c r="B35" t="s">
        <v>42</v>
      </c>
      <c r="C35">
        <v>250</v>
      </c>
      <c r="D35">
        <v>250</v>
      </c>
      <c r="E35" t="str">
        <f t="shared" si="5"/>
        <v>public static int NeutralDamage;</v>
      </c>
    </row>
    <row r="36" spans="1:5" x14ac:dyDescent="0.3">
      <c r="A36" t="s">
        <v>69</v>
      </c>
      <c r="B36" t="s">
        <v>135</v>
      </c>
      <c r="C36">
        <v>0.2</v>
      </c>
      <c r="D36">
        <v>0.2</v>
      </c>
      <c r="E36" t="str">
        <f t="shared" si="5"/>
        <v>public static int NeutralGetFeatureProbability;</v>
      </c>
    </row>
    <row r="37" spans="1:5" x14ac:dyDescent="0.3">
      <c r="A37" t="s">
        <v>136</v>
      </c>
      <c r="B37" s="7" t="s">
        <v>137</v>
      </c>
      <c r="C37">
        <v>0.05</v>
      </c>
      <c r="D37">
        <v>0.05</v>
      </c>
      <c r="E37" t="str">
        <f>"public static float "&amp;A37&amp;";"</f>
        <v>public static float DefaultGodProbability;</v>
      </c>
    </row>
    <row r="38" spans="1:5" x14ac:dyDescent="0.3">
      <c r="A38" t="s">
        <v>113</v>
      </c>
      <c r="B38" t="s">
        <v>109</v>
      </c>
      <c r="C38">
        <v>80000</v>
      </c>
      <c r="D38">
        <v>80000</v>
      </c>
      <c r="E38" t="str">
        <f t="shared" ref="E38:E41" si="6">"public static int "&amp;A38&amp;";"</f>
        <v>public static int GodHealth;</v>
      </c>
    </row>
    <row r="39" spans="1:5" x14ac:dyDescent="0.3">
      <c r="A39" t="s">
        <v>114</v>
      </c>
      <c r="B39" t="s">
        <v>110</v>
      </c>
      <c r="C39">
        <v>300</v>
      </c>
      <c r="D39">
        <v>300</v>
      </c>
      <c r="E39" t="str">
        <f t="shared" si="6"/>
        <v>public static int GodDamage;</v>
      </c>
    </row>
    <row r="40" spans="1:5" x14ac:dyDescent="0.3">
      <c r="A40" t="s">
        <v>115</v>
      </c>
      <c r="B40" t="s">
        <v>111</v>
      </c>
      <c r="C40">
        <v>200</v>
      </c>
      <c r="D40">
        <v>200</v>
      </c>
      <c r="E40" t="str">
        <f t="shared" si="6"/>
        <v>public static int GodMoveSpeed;</v>
      </c>
    </row>
    <row r="41" spans="1:5" x14ac:dyDescent="0.3">
      <c r="A41" t="s">
        <v>138</v>
      </c>
      <c r="B41" t="s">
        <v>112</v>
      </c>
      <c r="C41">
        <v>30</v>
      </c>
      <c r="D41">
        <v>30</v>
      </c>
      <c r="E41" t="str">
        <f t="shared" si="6"/>
        <v>public static int GodDropStarExp;</v>
      </c>
    </row>
    <row r="42" spans="1:5" x14ac:dyDescent="0.3">
      <c r="A42" t="s">
        <v>125</v>
      </c>
      <c r="B42" t="s">
        <v>128</v>
      </c>
      <c r="C42">
        <v>10</v>
      </c>
      <c r="D42">
        <v>10</v>
      </c>
      <c r="E42" t="str">
        <f>"public static int "&amp;A42&amp;";"</f>
        <v>public static int GodDebutTime;</v>
      </c>
    </row>
    <row r="43" spans="1:5" x14ac:dyDescent="0.3">
      <c r="A43" t="s">
        <v>126</v>
      </c>
      <c r="B43" t="s">
        <v>129</v>
      </c>
      <c r="C43">
        <v>180</v>
      </c>
      <c r="D43">
        <v>180</v>
      </c>
      <c r="E43" t="str">
        <f t="shared" ref="E43:E45" si="7">"public static int "&amp;A43&amp;";"</f>
        <v>public static int GodExistTime;</v>
      </c>
    </row>
    <row r="44" spans="1:5" x14ac:dyDescent="0.3">
      <c r="A44" t="s">
        <v>127</v>
      </c>
      <c r="B44" t="s">
        <v>130</v>
      </c>
      <c r="C44">
        <v>60</v>
      </c>
      <c r="D44">
        <v>60</v>
      </c>
      <c r="E44" t="str">
        <f t="shared" si="7"/>
        <v>public static int GodSpawnReSpawnTime;</v>
      </c>
    </row>
    <row r="45" spans="1:5" x14ac:dyDescent="0.3">
      <c r="A45" t="s">
        <v>139</v>
      </c>
      <c r="B45" t="s">
        <v>140</v>
      </c>
      <c r="C45">
        <v>10</v>
      </c>
      <c r="D45">
        <v>10</v>
      </c>
      <c r="E45" t="str">
        <f t="shared" si="7"/>
        <v>public static int MaxPlayersPerRoom;</v>
      </c>
    </row>
    <row r="46" spans="1:5" x14ac:dyDescent="0.3">
      <c r="A46" t="s">
        <v>141</v>
      </c>
      <c r="B46" t="s">
        <v>142</v>
      </c>
      <c r="C46">
        <v>10</v>
      </c>
      <c r="D46">
        <v>10</v>
      </c>
      <c r="E46" t="str">
        <f t="shared" ref="E46" si="8">"public static int "&amp;A46&amp;";"</f>
        <v>public static int MaxRolePerRoom;</v>
      </c>
    </row>
    <row r="47" spans="1:5" x14ac:dyDescent="0.3">
      <c r="A47" t="s">
        <v>131</v>
      </c>
      <c r="B47" s="7" t="s">
        <v>116</v>
      </c>
      <c r="C47" s="8" t="s">
        <v>185</v>
      </c>
      <c r="D47" s="8" t="s">
        <v>185</v>
      </c>
      <c r="E47" t="str">
        <f>"public static string "&amp;A47&amp;";"</f>
        <v>public static string InitAIRoleCount;</v>
      </c>
    </row>
    <row r="48" spans="1:5" x14ac:dyDescent="0.3">
      <c r="A48" t="s">
        <v>120</v>
      </c>
      <c r="B48" s="7" t="s">
        <v>118</v>
      </c>
      <c r="C48" s="8" t="s">
        <v>186</v>
      </c>
      <c r="D48" s="8" t="s">
        <v>143</v>
      </c>
      <c r="E48" t="str">
        <f>"public static string "&amp;A48&amp;";"</f>
        <v>public static string AIRoleJoinInterval;</v>
      </c>
    </row>
    <row r="49" spans="1:5" x14ac:dyDescent="0.3">
      <c r="A49" t="s">
        <v>123</v>
      </c>
      <c r="B49" s="7" t="s">
        <v>119</v>
      </c>
      <c r="C49" s="8" t="s">
        <v>124</v>
      </c>
      <c r="D49" s="8" t="s">
        <v>124</v>
      </c>
      <c r="E49" t="str">
        <f>"public static string "&amp;A49&amp;";"</f>
        <v>public static string AIReSpawnInterval;</v>
      </c>
    </row>
    <row r="50" spans="1:5" x14ac:dyDescent="0.3">
      <c r="A50" t="s">
        <v>122</v>
      </c>
      <c r="B50" s="7" t="s">
        <v>117</v>
      </c>
      <c r="C50">
        <v>0.1</v>
      </c>
      <c r="D50">
        <v>0.1</v>
      </c>
      <c r="E50" t="str">
        <f>"public static float "&amp;A50&amp;";"</f>
        <v>public static float AIRoleChangeProbability;</v>
      </c>
    </row>
    <row r="51" spans="1:5" x14ac:dyDescent="0.3">
      <c r="A51" t="s">
        <v>181</v>
      </c>
      <c r="B51" s="7" t="s">
        <v>121</v>
      </c>
      <c r="C51">
        <v>0.2</v>
      </c>
      <c r="D51">
        <v>0.2</v>
      </c>
      <c r="E51" t="str">
        <f>"public static float "&amp;A51&amp;";"</f>
        <v>public static float GuestAIProbability;</v>
      </c>
    </row>
    <row r="52" spans="1:5" s="2" customFormat="1" ht="16.8" customHeight="1" x14ac:dyDescent="0.3">
      <c r="B52" s="4" t="s">
        <v>148</v>
      </c>
    </row>
    <row r="53" spans="1:5" x14ac:dyDescent="0.3">
      <c r="A53" t="s">
        <v>153</v>
      </c>
      <c r="B53" t="s">
        <v>155</v>
      </c>
      <c r="C53">
        <v>4000</v>
      </c>
      <c r="D53">
        <v>4000</v>
      </c>
      <c r="E53" t="str">
        <f t="shared" ref="E53:E54" si="9">"public static int "&amp;A53&amp;";"</f>
        <v>public static int Health_C;</v>
      </c>
    </row>
    <row r="54" spans="1:5" x14ac:dyDescent="0.3">
      <c r="A54" t="s">
        <v>154</v>
      </c>
      <c r="B54" t="s">
        <v>156</v>
      </c>
      <c r="C54">
        <v>400</v>
      </c>
      <c r="D54">
        <v>400</v>
      </c>
      <c r="E54" t="str">
        <f t="shared" si="9"/>
        <v>public static int Damage_C;</v>
      </c>
    </row>
    <row r="55" spans="1:5" x14ac:dyDescent="0.3">
      <c r="A55" t="s">
        <v>150</v>
      </c>
      <c r="B55" t="s">
        <v>157</v>
      </c>
      <c r="C55">
        <v>1000</v>
      </c>
      <c r="D55">
        <v>1000</v>
      </c>
      <c r="E55" t="str">
        <f t="shared" ref="E55:E57" si="10">"public static int "&amp;A55&amp;";"</f>
        <v>public static int NeutralHealth_C;</v>
      </c>
    </row>
    <row r="56" spans="1:5" x14ac:dyDescent="0.3">
      <c r="A56" t="s">
        <v>151</v>
      </c>
      <c r="B56" t="s">
        <v>158</v>
      </c>
      <c r="C56">
        <v>250</v>
      </c>
      <c r="D56">
        <v>250</v>
      </c>
      <c r="E56" t="str">
        <f t="shared" si="10"/>
        <v>public static int NeutralDamage_C;</v>
      </c>
    </row>
    <row r="57" spans="1:5" x14ac:dyDescent="0.3">
      <c r="A57" t="s">
        <v>152</v>
      </c>
      <c r="B57" t="s">
        <v>135</v>
      </c>
      <c r="C57">
        <v>1</v>
      </c>
      <c r="D57">
        <v>1</v>
      </c>
      <c r="E57" t="str">
        <f t="shared" si="10"/>
        <v>public static int NeutralGetFeatureProbability_C;</v>
      </c>
    </row>
    <row r="58" spans="1:5" x14ac:dyDescent="0.3">
      <c r="A58" t="s">
        <v>159</v>
      </c>
      <c r="B58" t="s">
        <v>140</v>
      </c>
      <c r="C58">
        <v>2</v>
      </c>
      <c r="D58">
        <v>2</v>
      </c>
      <c r="E58" t="str">
        <f t="shared" ref="E58:E59" si="11">"public static int "&amp;A58&amp;";"</f>
        <v>public static int MaxPlayersPerRoom_C;</v>
      </c>
    </row>
    <row r="59" spans="1:5" x14ac:dyDescent="0.3">
      <c r="A59" t="s">
        <v>160</v>
      </c>
      <c r="B59" t="s">
        <v>142</v>
      </c>
      <c r="C59">
        <v>4</v>
      </c>
      <c r="D59">
        <v>4</v>
      </c>
      <c r="E59" t="str">
        <f t="shared" si="11"/>
        <v>public static int MaxRolePerRoom_C;</v>
      </c>
    </row>
    <row r="60" spans="1:5" x14ac:dyDescent="0.3">
      <c r="A60" t="s">
        <v>183</v>
      </c>
      <c r="B60" s="7" t="s">
        <v>116</v>
      </c>
      <c r="C60" s="8" t="s">
        <v>187</v>
      </c>
      <c r="D60" s="8" t="s">
        <v>187</v>
      </c>
      <c r="E60" t="str">
        <f>"public static string "&amp;A60&amp;";"</f>
        <v>public static string InitAIRoleCount_C;</v>
      </c>
    </row>
    <row r="61" spans="1:5" x14ac:dyDescent="0.3">
      <c r="A61" t="s">
        <v>163</v>
      </c>
      <c r="B61" s="7" t="s">
        <v>161</v>
      </c>
      <c r="C61" s="8" t="s">
        <v>162</v>
      </c>
      <c r="D61" s="8" t="s">
        <v>162</v>
      </c>
      <c r="E61" t="str">
        <f>"public static float "&amp;A61&amp;";"</f>
        <v>public static float ChangeFeatureTime_C;</v>
      </c>
    </row>
    <row r="62" spans="1:5" x14ac:dyDescent="0.3">
      <c r="A62" t="s">
        <v>164</v>
      </c>
      <c r="B62" t="s">
        <v>165</v>
      </c>
      <c r="C62">
        <v>3</v>
      </c>
      <c r="D62">
        <v>3</v>
      </c>
      <c r="E62" t="str">
        <f t="shared" ref="E62" si="12">"public static int "&amp;A62&amp;";"</f>
        <v>public static int WinRankScore_C;</v>
      </c>
    </row>
    <row r="63" spans="1:5" x14ac:dyDescent="0.3">
      <c r="A63" t="s">
        <v>166</v>
      </c>
      <c r="B63" t="s">
        <v>171</v>
      </c>
      <c r="C63">
        <v>1</v>
      </c>
      <c r="D63">
        <v>1</v>
      </c>
      <c r="E63" t="str">
        <f t="shared" ref="E63:E66" si="13">"public static int "&amp;A63&amp;";"</f>
        <v>public static int LoseRankScore_C;</v>
      </c>
    </row>
    <row r="64" spans="1:5" x14ac:dyDescent="0.3">
      <c r="A64" t="s">
        <v>173</v>
      </c>
      <c r="B64" t="s">
        <v>172</v>
      </c>
      <c r="C64">
        <v>1</v>
      </c>
      <c r="D64">
        <v>1</v>
      </c>
      <c r="E64" t="str">
        <f>"public static int "&amp;A64&amp;";"</f>
        <v>public static int WinningStreakRankScore_C;</v>
      </c>
    </row>
    <row r="65" spans="1:5" x14ac:dyDescent="0.3">
      <c r="A65" t="s">
        <v>184</v>
      </c>
      <c r="B65" t="s">
        <v>179</v>
      </c>
      <c r="C65">
        <v>8</v>
      </c>
      <c r="D65">
        <v>8</v>
      </c>
      <c r="E65" t="str">
        <f>"public static int "&amp;A65&amp;";"</f>
        <v>public static int MaxRankScore_C;</v>
      </c>
    </row>
    <row r="66" spans="1:5" x14ac:dyDescent="0.3">
      <c r="A66" t="s">
        <v>167</v>
      </c>
      <c r="B66" t="s">
        <v>169</v>
      </c>
      <c r="C66">
        <v>2</v>
      </c>
      <c r="D66">
        <v>2</v>
      </c>
      <c r="E66" t="str">
        <f t="shared" si="13"/>
        <v>public static int WinStar_C;</v>
      </c>
    </row>
    <row r="67" spans="1:5" x14ac:dyDescent="0.3">
      <c r="A67" t="s">
        <v>168</v>
      </c>
      <c r="B67" t="s">
        <v>170</v>
      </c>
      <c r="C67">
        <v>1</v>
      </c>
      <c r="D67">
        <v>1</v>
      </c>
      <c r="E67" t="str">
        <f t="shared" ref="E67:E69" si="14">"public static int "&amp;A67&amp;";"</f>
        <v>public static int LoseStar_C;</v>
      </c>
    </row>
    <row r="68" spans="1:5" x14ac:dyDescent="0.3">
      <c r="A68" t="s">
        <v>174</v>
      </c>
      <c r="B68" t="s">
        <v>175</v>
      </c>
      <c r="C68">
        <v>1</v>
      </c>
      <c r="D68">
        <v>1</v>
      </c>
      <c r="E68" t="str">
        <f t="shared" si="14"/>
        <v>public static int WinningStreakStar_C;</v>
      </c>
    </row>
    <row r="69" spans="1:5" x14ac:dyDescent="0.3">
      <c r="A69" t="s">
        <v>178</v>
      </c>
      <c r="B69" t="s">
        <v>177</v>
      </c>
      <c r="C69">
        <v>7</v>
      </c>
      <c r="D69">
        <v>7</v>
      </c>
      <c r="E69" t="str">
        <f t="shared" si="14"/>
        <v>public static int MaxStar_C;</v>
      </c>
    </row>
    <row r="70" spans="1:5" x14ac:dyDescent="0.3">
      <c r="A70" t="s">
        <v>182</v>
      </c>
      <c r="B70" s="7" t="s">
        <v>180</v>
      </c>
      <c r="C70" s="8" t="s">
        <v>207</v>
      </c>
      <c r="D70" s="8" t="s">
        <v>207</v>
      </c>
      <c r="E70" t="str">
        <f>"public static float "&amp;A70&amp;";"</f>
        <v>public static float MaxSearchingTime_C;</v>
      </c>
    </row>
    <row r="71" spans="1:5" s="2" customFormat="1" x14ac:dyDescent="0.3">
      <c r="B71" s="4" t="s">
        <v>71</v>
      </c>
    </row>
    <row r="72" spans="1:5" x14ac:dyDescent="0.3">
      <c r="A72" t="s">
        <v>176</v>
      </c>
      <c r="B72" t="s">
        <v>43</v>
      </c>
      <c r="C72">
        <v>800</v>
      </c>
      <c r="D72">
        <v>800</v>
      </c>
      <c r="E72" t="str">
        <f>"public static int "&amp;A72&amp;";"</f>
        <v>public static int MoveSpeed;</v>
      </c>
    </row>
    <row r="73" spans="1:5" x14ac:dyDescent="0.3">
      <c r="A73" t="s">
        <v>45</v>
      </c>
      <c r="B73" t="s">
        <v>70</v>
      </c>
      <c r="C73">
        <v>1</v>
      </c>
      <c r="D73">
        <v>1</v>
      </c>
      <c r="E73" t="str">
        <f>"public static int "&amp;A73&amp;";"</f>
        <v>public static int MeleeStunTime;</v>
      </c>
    </row>
    <row r="74" spans="1:5" x14ac:dyDescent="0.3">
      <c r="A74" t="s">
        <v>46</v>
      </c>
      <c r="B74" t="s">
        <v>44</v>
      </c>
      <c r="C74">
        <v>1</v>
      </c>
      <c r="D74">
        <v>1</v>
      </c>
      <c r="E74" t="str">
        <f>"public static int "&amp;A74&amp;";"</f>
        <v>public static int MeleeSelfSturnTime;</v>
      </c>
    </row>
    <row r="75" spans="1:5" x14ac:dyDescent="0.3">
      <c r="A75" t="s">
        <v>66</v>
      </c>
      <c r="B75" t="s">
        <v>65</v>
      </c>
      <c r="C75">
        <v>0.5</v>
      </c>
      <c r="D75">
        <v>0.5</v>
      </c>
      <c r="E75" t="str">
        <f t="shared" ref="E75" si="15">"public static int "&amp;A75&amp;";"</f>
        <v>public static int BumpSturnTime;</v>
      </c>
    </row>
    <row r="76" spans="1:5" x14ac:dyDescent="0.3">
      <c r="A76" t="s">
        <v>31</v>
      </c>
      <c r="B76" t="s">
        <v>35</v>
      </c>
      <c r="C76">
        <v>1</v>
      </c>
      <c r="D76">
        <v>1</v>
      </c>
      <c r="E76" t="str">
        <f>"public static float "&amp;A76&amp;";"</f>
        <v>public static float PlayerLV1DropStarExp;</v>
      </c>
    </row>
    <row r="77" spans="1:5" x14ac:dyDescent="0.3">
      <c r="A77" t="s">
        <v>32</v>
      </c>
      <c r="B77" t="s">
        <v>36</v>
      </c>
      <c r="C77">
        <v>2</v>
      </c>
      <c r="D77">
        <v>2</v>
      </c>
    </row>
    <row r="78" spans="1:5" x14ac:dyDescent="0.3">
      <c r="A78" t="s">
        <v>33</v>
      </c>
      <c r="B78" t="s">
        <v>37</v>
      </c>
      <c r="C78">
        <v>3</v>
      </c>
      <c r="D78">
        <v>3</v>
      </c>
    </row>
    <row r="79" spans="1:5" x14ac:dyDescent="0.3">
      <c r="A79" t="s">
        <v>34</v>
      </c>
      <c r="B79" t="s">
        <v>38</v>
      </c>
      <c r="C79">
        <v>4</v>
      </c>
      <c r="D79">
        <v>4</v>
      </c>
    </row>
    <row r="80" spans="1:5" x14ac:dyDescent="0.3">
      <c r="A80" t="s">
        <v>72</v>
      </c>
      <c r="B80" t="s">
        <v>73</v>
      </c>
      <c r="C80">
        <v>1</v>
      </c>
      <c r="D80">
        <v>1</v>
      </c>
    </row>
    <row r="81" spans="1:6" x14ac:dyDescent="0.3">
      <c r="A81" t="s">
        <v>106</v>
      </c>
      <c r="B81" t="s">
        <v>105</v>
      </c>
      <c r="C81">
        <v>0.05</v>
      </c>
      <c r="D81">
        <v>0.05</v>
      </c>
    </row>
    <row r="82" spans="1:6" x14ac:dyDescent="0.3">
      <c r="A82" t="s">
        <v>107</v>
      </c>
      <c r="B82" t="s">
        <v>108</v>
      </c>
      <c r="C82">
        <v>0.5</v>
      </c>
      <c r="D82">
        <v>0.5</v>
      </c>
    </row>
    <row r="83" spans="1:6" s="2" customFormat="1" ht="15.6" customHeight="1" x14ac:dyDescent="0.3">
      <c r="B83" s="4" t="s">
        <v>74</v>
      </c>
    </row>
    <row r="84" spans="1:6" s="9" customFormat="1" x14ac:dyDescent="0.3">
      <c r="A84" s="9" t="s">
        <v>75</v>
      </c>
      <c r="B84" s="9" t="s">
        <v>76</v>
      </c>
      <c r="C84" s="9">
        <v>1</v>
      </c>
      <c r="D84" s="9">
        <v>1</v>
      </c>
      <c r="E84" s="9" t="str">
        <f>"public static int "&amp;A84&amp;";"</f>
        <v>public static int ReviveKreds;</v>
      </c>
      <c r="F84" s="10" t="s">
        <v>204</v>
      </c>
    </row>
    <row r="85" spans="1:6" ht="17.399999999999999" customHeight="1" x14ac:dyDescent="0.3">
      <c r="A85" t="s">
        <v>188</v>
      </c>
      <c r="B85" t="s">
        <v>77</v>
      </c>
      <c r="C85">
        <v>10</v>
      </c>
      <c r="D85">
        <v>10</v>
      </c>
      <c r="E85" t="str">
        <f>"public static int "&amp;A85&amp;";"</f>
        <v>public static int PremiumKreds;</v>
      </c>
      <c r="F85" s="6" t="s">
        <v>78</v>
      </c>
    </row>
    <row r="86" spans="1:6" x14ac:dyDescent="0.3">
      <c r="A86" t="s">
        <v>189</v>
      </c>
      <c r="B86" t="s">
        <v>190</v>
      </c>
      <c r="C86">
        <v>30</v>
      </c>
      <c r="D86">
        <v>30</v>
      </c>
      <c r="E86" t="str">
        <f t="shared" ref="E86" si="16">"public static int "&amp;A86&amp;";"</f>
        <v>public static int HeadSpellClamorKreds;</v>
      </c>
      <c r="F86" s="6" t="s">
        <v>78</v>
      </c>
    </row>
    <row r="87" spans="1:6" x14ac:dyDescent="0.3">
      <c r="A87" t="s">
        <v>191</v>
      </c>
      <c r="B87" t="s">
        <v>193</v>
      </c>
      <c r="C87">
        <v>30</v>
      </c>
      <c r="D87">
        <v>30</v>
      </c>
      <c r="E87" t="str">
        <f t="shared" ref="E87:E91" si="17">"public static int "&amp;A87&amp;";"</f>
        <v>public static int BodySpellClamorKreds;</v>
      </c>
      <c r="F87" s="6" t="s">
        <v>78</v>
      </c>
    </row>
    <row r="88" spans="1:6" x14ac:dyDescent="0.3">
      <c r="A88" t="s">
        <v>192</v>
      </c>
      <c r="B88" t="s">
        <v>194</v>
      </c>
      <c r="C88">
        <v>30</v>
      </c>
      <c r="D88">
        <v>30</v>
      </c>
      <c r="E88" t="str">
        <f t="shared" si="17"/>
        <v>public static int BackSpellClamorKreds;</v>
      </c>
      <c r="F88" s="6" t="s">
        <v>78</v>
      </c>
    </row>
    <row r="89" spans="1:6" x14ac:dyDescent="0.3">
      <c r="A89" t="s">
        <v>195</v>
      </c>
      <c r="B89" t="s">
        <v>201</v>
      </c>
      <c r="C89" t="s">
        <v>199</v>
      </c>
      <c r="D89" t="s">
        <v>199</v>
      </c>
      <c r="E89" t="str">
        <f t="shared" si="17"/>
        <v>public static int HeadSpellClamorKGShopID;</v>
      </c>
      <c r="F89" s="6" t="s">
        <v>84</v>
      </c>
    </row>
    <row r="90" spans="1:6" x14ac:dyDescent="0.3">
      <c r="A90" t="s">
        <v>196</v>
      </c>
      <c r="B90" t="s">
        <v>202</v>
      </c>
      <c r="C90" t="s">
        <v>200</v>
      </c>
      <c r="D90" t="s">
        <v>200</v>
      </c>
      <c r="E90" t="str">
        <f t="shared" si="17"/>
        <v>public static int BodySpellClamorKGShopID;</v>
      </c>
      <c r="F90" s="6" t="s">
        <v>84</v>
      </c>
    </row>
    <row r="91" spans="1:6" x14ac:dyDescent="0.3">
      <c r="A91" t="s">
        <v>197</v>
      </c>
      <c r="B91" t="s">
        <v>203</v>
      </c>
      <c r="C91" t="s">
        <v>198</v>
      </c>
      <c r="D91" t="s">
        <v>205</v>
      </c>
      <c r="E91" t="str">
        <f t="shared" si="17"/>
        <v>public static int BackSpellClamorKGShopID;</v>
      </c>
      <c r="F91" s="6" t="s">
        <v>84</v>
      </c>
    </row>
    <row r="92" spans="1:6" x14ac:dyDescent="0.3">
      <c r="A92" t="s">
        <v>81</v>
      </c>
      <c r="B92" t="s">
        <v>83</v>
      </c>
      <c r="C92" t="s">
        <v>103</v>
      </c>
      <c r="D92" t="s">
        <v>103</v>
      </c>
      <c r="E92" t="str">
        <f>"public static int "&amp;A92&amp;";"</f>
        <v>public static int ReviveKGShopID;</v>
      </c>
      <c r="F92" s="6" t="s">
        <v>84</v>
      </c>
    </row>
    <row r="93" spans="1:6" x14ac:dyDescent="0.3">
      <c r="A93" t="s">
        <v>85</v>
      </c>
      <c r="B93" t="s">
        <v>82</v>
      </c>
      <c r="C93" t="s">
        <v>104</v>
      </c>
      <c r="D93" t="s">
        <v>104</v>
      </c>
      <c r="E93" t="str">
        <f>"public static int "&amp;A93&amp;";"</f>
        <v>public static int PremiumKGShopID;</v>
      </c>
      <c r="F93" s="6" t="s">
        <v>84</v>
      </c>
    </row>
    <row r="94" spans="1:6" x14ac:dyDescent="0.3">
      <c r="A94" t="s">
        <v>79</v>
      </c>
      <c r="B94" t="s">
        <v>80</v>
      </c>
      <c r="C94">
        <v>50</v>
      </c>
      <c r="D94">
        <v>50</v>
      </c>
      <c r="F94" s="6"/>
    </row>
    <row r="95" spans="1:6" x14ac:dyDescent="0.3">
      <c r="A95" s="3" t="s">
        <v>3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7"/>
  <sheetViews>
    <sheetView workbookViewId="0">
      <selection activeCell="A35" sqref="A35"/>
    </sheetView>
  </sheetViews>
  <sheetFormatPr defaultRowHeight="16.2" x14ac:dyDescent="0.3"/>
  <cols>
    <col min="1" max="1" width="15.77734375" customWidth="1"/>
    <col min="3" max="3" width="11.33203125" customWidth="1"/>
  </cols>
  <sheetData>
    <row r="1" spans="1:2" s="2" customFormat="1" x14ac:dyDescent="0.3">
      <c r="A1" s="2" t="s">
        <v>18</v>
      </c>
      <c r="B1" s="2" t="s">
        <v>17</v>
      </c>
    </row>
    <row r="2" spans="1:2" x14ac:dyDescent="0.3">
      <c r="A2" t="s">
        <v>11</v>
      </c>
      <c r="B2" t="s">
        <v>8</v>
      </c>
    </row>
    <row r="3" spans="1:2" x14ac:dyDescent="0.3">
      <c r="A3" t="s">
        <v>12</v>
      </c>
      <c r="B3" t="s">
        <v>9</v>
      </c>
    </row>
    <row r="4" spans="1:2" x14ac:dyDescent="0.3">
      <c r="A4" t="s">
        <v>13</v>
      </c>
      <c r="B4" t="s">
        <v>4</v>
      </c>
    </row>
    <row r="5" spans="1:2" x14ac:dyDescent="0.3">
      <c r="A5" t="s">
        <v>14</v>
      </c>
      <c r="B5" t="s">
        <v>5</v>
      </c>
    </row>
    <row r="6" spans="1:2" x14ac:dyDescent="0.3">
      <c r="A6" t="s">
        <v>15</v>
      </c>
      <c r="B6" t="s">
        <v>6</v>
      </c>
    </row>
    <row r="7" spans="1:2" x14ac:dyDescent="0.3">
      <c r="A7" t="s">
        <v>16</v>
      </c>
      <c r="B7" t="s">
        <v>10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GameSetting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2020-05-09T09:44:29Z</dcterms:modified>
</cp:coreProperties>
</file>